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OneDrive\Desktop\Performance model-EEX5362\"/>
    </mc:Choice>
  </mc:AlternateContent>
  <xr:revisionPtr revIDLastSave="0" documentId="13_ncr:1_{59181225-A210-4EB9-B80F-B6246398903F}" xr6:coauthVersionLast="47" xr6:coauthVersionMax="47" xr10:uidLastSave="{00000000-0000-0000-0000-000000000000}"/>
  <bookViews>
    <workbookView xWindow="-108" yWindow="-108" windowWidth="23256" windowHeight="12456" activeTab="1" xr2:uid="{F78A3512-3470-4C16-AF11-6DA578BBFA1D}"/>
  </bookViews>
  <sheets>
    <sheet name="Sheet2" sheetId="2" r:id="rId1"/>
    <sheet name="Sheet3" sheetId="3" r:id="rId2"/>
    <sheet name="Sheet1" sheetId="1" r:id="rId3"/>
  </sheets>
  <calcPr calcId="191029"/>
  <pivotCaches>
    <pivotCache cacheId="3" r:id="rId4"/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C24" i="1"/>
</calcChain>
</file>

<file path=xl/sharedStrings.xml><?xml version="1.0" encoding="utf-8"?>
<sst xmlns="http://schemas.openxmlformats.org/spreadsheetml/2006/main" count="122" uniqueCount="52">
  <si>
    <t>Order_ID</t>
  </si>
  <si>
    <t>Restaurant_Location</t>
  </si>
  <si>
    <t>Customer_Location</t>
  </si>
  <si>
    <t>Order_Time</t>
  </si>
  <si>
    <t>Pickup_Time</t>
  </si>
  <si>
    <t>Delivery_Time</t>
  </si>
  <si>
    <t>Delivery_Distance_km</t>
  </si>
  <si>
    <t>Driver_ID</t>
  </si>
  <si>
    <t>Delivery_Status</t>
  </si>
  <si>
    <t>ORD101</t>
  </si>
  <si>
    <t>Downtown</t>
  </si>
  <si>
    <t>North Zone</t>
  </si>
  <si>
    <t>D01</t>
  </si>
  <si>
    <t>Delivered</t>
  </si>
  <si>
    <t>ORD102</t>
  </si>
  <si>
    <t>East Zone</t>
  </si>
  <si>
    <t>South Zone</t>
  </si>
  <si>
    <t>D02</t>
  </si>
  <si>
    <t>Delayed</t>
  </si>
  <si>
    <t>ORD103</t>
  </si>
  <si>
    <t>West End</t>
  </si>
  <si>
    <t>D03</t>
  </si>
  <si>
    <t>ORD104</t>
  </si>
  <si>
    <t>Central Mall</t>
  </si>
  <si>
    <t>West Zone</t>
  </si>
  <si>
    <t>D04</t>
  </si>
  <si>
    <t>ORD105</t>
  </si>
  <si>
    <t>North Park</t>
  </si>
  <si>
    <t>Central Zone</t>
  </si>
  <si>
    <t>D05</t>
  </si>
  <si>
    <t>ORD106</t>
  </si>
  <si>
    <t>South Street</t>
  </si>
  <si>
    <t>ORD107</t>
  </si>
  <si>
    <t>ORD108</t>
  </si>
  <si>
    <t>ORD109</t>
  </si>
  <si>
    <t>ORD110</t>
  </si>
  <si>
    <t>ORD111</t>
  </si>
  <si>
    <t>ORD112</t>
  </si>
  <si>
    <t>ORD113</t>
  </si>
  <si>
    <t>ORD114</t>
  </si>
  <si>
    <t>ORD115</t>
  </si>
  <si>
    <t>ORD116</t>
  </si>
  <si>
    <t>ORD117</t>
  </si>
  <si>
    <t>ORD118</t>
  </si>
  <si>
    <t>ORD119</t>
  </si>
  <si>
    <t>ORD120</t>
  </si>
  <si>
    <t>Total_Delivery_Time_Min</t>
  </si>
  <si>
    <t>Row Labels</t>
  </si>
  <si>
    <t>Grand Total</t>
  </si>
  <si>
    <t>Count of Order_ID</t>
  </si>
  <si>
    <t>Order_Hour</t>
  </si>
  <si>
    <t>Average of Total_Delivery_Time_Min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</si>
</sst>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0" fontId="0" fillId="0" borderId="0" xfId="0" applyNumberFormat="1"/>
    <xf numFmtId="0" fontId="1" fillId="0" borderId="0" xfId="0" applyFont="1"/>
    <xf numFmtId="1" fontId="1" fillId="0" borderId="0" xfId="0" applyNumberFormat="1" applyFont="1"/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[food_delivery_data.xlsx]Sheet2!PivotTable1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Driver Utilization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Sheet2!$A$4:$A$9</c:f>
              <c:strCache>
                <c:ptCount val="5"/>
                <c:pt idx="0">
                  <c:v>D01</c:v>
                </c:pt>
                <c:pt idx="1">
                  <c:v>D02</c:v>
                </c:pt>
                <c:pt idx="2">
                  <c:v>D03</c:v>
                </c:pt>
                <c:pt idx="3">
                  <c:v>D04</c:v>
                </c:pt>
                <c:pt idx="4">
                  <c:v>D05</c:v>
                </c:pt>
              </c:strCache>
            </c:strRef>
          </c:cat>
          <c:val>
            <c:numRef>
              <c:f>Sheet2!$B$4:$B$9</c:f>
              <c:numCache>
                <c:formatCode>General</c:formatCode>
                <c:ptCount val="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91F-47A6-B987-0F14AD6CA0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35669103"/>
        <c:axId val="1235674095"/>
      </c:barChart>
      <c:catAx>
        <c:axId val="12356691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Driver 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5674095"/>
        <c:crosses val="autoZero"/>
        <c:auto val="1"/>
        <c:lblAlgn val="ctr"/>
        <c:lblOffset val="100"/>
        <c:noMultiLvlLbl val="0"/>
      </c:catAx>
      <c:valAx>
        <c:axId val="1235674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Orders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56691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[food_delivery_data.xlsx]Sheet3!PivotTable2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Delivery Time by Order Hour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Sheet3!$B$3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Sheet3!$A$4:$A$6</c:f>
              <c:strCache>
                <c:ptCount val="2"/>
                <c:pt idx="0">
                  <c:v>10</c:v>
                </c:pt>
                <c:pt idx="1">
                  <c:v>11</c:v>
                </c:pt>
              </c:strCache>
            </c:strRef>
          </c:cat>
          <c:val>
            <c:numRef>
              <c:f>Sheet3!$B$4:$B$6</c:f>
              <c:numCache>
                <c:formatCode>General</c:formatCode>
                <c:ptCount val="2"/>
                <c:pt idx="0">
                  <c:v>38.333333333333336</c:v>
                </c:pt>
                <c:pt idx="1">
                  <c:v>51.249999999999986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40-46FB-8EEF-7EBB693EA3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9067119"/>
        <c:axId val="1239066287"/>
      </c:lineChart>
      <c:catAx>
        <c:axId val="12390671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Order Hour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9066287"/>
        <c:crosses val="autoZero"/>
        <c:auto val="1"/>
        <c:lblAlgn val="ctr"/>
        <c:lblOffset val="100"/>
        <c:noMultiLvlLbl val="0"/>
      </c:catAx>
      <c:valAx>
        <c:axId val="1239066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Delivery Time (minutes)</a:t>
                </a:r>
              </a:p>
            </c:rich>
          </c:tx>
          <c:layout>
            <c:manualLayout>
              <c:xMode val="edge"/>
              <c:yMode val="edge"/>
              <c:x val="3.0555555555555555E-2"/>
              <c:y val="0.272960775736366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906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Sheet1!$G$2:$G$21</c:f>
              <c:numCache>
                <c:formatCode>General</c:formatCode>
                <c:ptCount val="20"/>
                <c:pt idx="0">
                  <c:v>5.2</c:v>
                </c:pt>
                <c:pt idx="1">
                  <c:v>7.5</c:v>
                </c:pt>
                <c:pt idx="2">
                  <c:v>4.3</c:v>
                </c:pt>
                <c:pt idx="3">
                  <c:v>6</c:v>
                </c:pt>
                <c:pt idx="4">
                  <c:v>8.1</c:v>
                </c:pt>
                <c:pt idx="5">
                  <c:v>7.2</c:v>
                </c:pt>
                <c:pt idx="6">
                  <c:v>4.8</c:v>
                </c:pt>
                <c:pt idx="7">
                  <c:v>5</c:v>
                </c:pt>
                <c:pt idx="8">
                  <c:v>6.5</c:v>
                </c:pt>
                <c:pt idx="9">
                  <c:v>7.8</c:v>
                </c:pt>
                <c:pt idx="10">
                  <c:v>5.0999999999999996</c:v>
                </c:pt>
                <c:pt idx="11">
                  <c:v>8.4</c:v>
                </c:pt>
                <c:pt idx="12">
                  <c:v>4.5</c:v>
                </c:pt>
                <c:pt idx="13">
                  <c:v>7.9</c:v>
                </c:pt>
                <c:pt idx="14">
                  <c:v>6.2</c:v>
                </c:pt>
                <c:pt idx="15">
                  <c:v>5.8</c:v>
                </c:pt>
                <c:pt idx="16">
                  <c:v>8</c:v>
                </c:pt>
                <c:pt idx="17">
                  <c:v>7.3</c:v>
                </c:pt>
                <c:pt idx="18">
                  <c:v>4.5999999999999996</c:v>
                </c:pt>
                <c:pt idx="19">
                  <c:v>6.9</c:v>
                </c:pt>
              </c:numCache>
            </c:numRef>
          </c:xVal>
          <c:yVal>
            <c:numRef>
              <c:f>Sheet1!$J$2:$J$21</c:f>
              <c:numCache>
                <c:formatCode>0</c:formatCode>
                <c:ptCount val="20"/>
                <c:pt idx="0">
                  <c:v>29.999999999999972</c:v>
                </c:pt>
                <c:pt idx="1">
                  <c:v>45</c:v>
                </c:pt>
                <c:pt idx="2">
                  <c:v>45</c:v>
                </c:pt>
                <c:pt idx="3">
                  <c:v>30.000000000000053</c:v>
                </c:pt>
                <c:pt idx="4">
                  <c:v>34.999999999999957</c:v>
                </c:pt>
                <c:pt idx="5">
                  <c:v>35.000000000000036</c:v>
                </c:pt>
                <c:pt idx="6">
                  <c:v>35.000000000000036</c:v>
                </c:pt>
                <c:pt idx="7">
                  <c:v>39.999999999999936</c:v>
                </c:pt>
                <c:pt idx="8">
                  <c:v>40.000000000000099</c:v>
                </c:pt>
                <c:pt idx="9">
                  <c:v>39.999999999999936</c:v>
                </c:pt>
                <c:pt idx="10">
                  <c:v>40.000000000000014</c:v>
                </c:pt>
                <c:pt idx="11">
                  <c:v>45</c:v>
                </c:pt>
                <c:pt idx="12">
                  <c:v>45</c:v>
                </c:pt>
                <c:pt idx="13">
                  <c:v>49.999999999999901</c:v>
                </c:pt>
                <c:pt idx="14">
                  <c:v>50.000000000000064</c:v>
                </c:pt>
                <c:pt idx="15">
                  <c:v>49.999999999999986</c:v>
                </c:pt>
                <c:pt idx="16">
                  <c:v>49.999999999999901</c:v>
                </c:pt>
                <c:pt idx="17">
                  <c:v>55.000000000000128</c:v>
                </c:pt>
                <c:pt idx="18">
                  <c:v>54.999999999999886</c:v>
                </c:pt>
                <c:pt idx="19">
                  <c:v>55.000000000000043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B32-4D4F-9526-31BA02838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6086063"/>
        <c:axId val="1396085231"/>
      </c:scatterChart>
      <c:valAx>
        <c:axId val="139608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6085231"/>
        <c:crosses val="autoZero"/>
        <c:crossBetween val="midCat"/>
      </c:valAx>
      <c:valAx>
        <c:axId val="139608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6086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5</xdr:row>
      <xdr:rowOff>60960</xdr:rowOff>
    </xdr:from>
    <xdr:to>
      <xdr:col>15</xdr:col>
      <xdr:colOff>228600</xdr:colOff>
      <xdr:row>20</xdr:row>
      <xdr:rowOff>60960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82DECB-1294-45A5-AC4D-AC16C5C835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495300</xdr:colOff>
      <xdr:row>6</xdr:row>
      <xdr:rowOff>68580</xdr:rowOff>
    </xdr:from>
    <xdr:to>
      <xdr:col>13</xdr:col>
      <xdr:colOff>190500</xdr:colOff>
      <xdr:row>21</xdr:row>
      <xdr:rowOff>68580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F5D6EE6-F616-4511-BCDB-52F19B3962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708660</xdr:colOff>
      <xdr:row>23</xdr:row>
      <xdr:rowOff>137160</xdr:rowOff>
    </xdr:from>
    <xdr:to>
      <xdr:col>9</xdr:col>
      <xdr:colOff>182880</xdr:colOff>
      <xdr:row>38</xdr:row>
      <xdr:rowOff>137160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D83F218-2443-487C-80EB-E739ECBCDD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05.685867824075" createdVersion="7" refreshedVersion="7" minRefreshableVersion="3" recordCount="20" xr:uid="{F02B7FBE-16F5-49F4-9974-5062303FFFAC}">
  <cacheSource type="worksheet">
    <worksheetSource ref="A1:J21" sheet="Sheet1"/>
  </cacheSource>
  <cacheFields count="10">
    <cacheField name="Order_ID" numFmtId="0">
      <sharedItems count="20">
        <s v="ORD101"/>
        <s v="ORD102"/>
        <s v="ORD103"/>
        <s v="ORD104"/>
        <s v="ORD105"/>
        <s v="ORD106"/>
        <s v="ORD107"/>
        <s v="ORD108"/>
        <s v="ORD109"/>
        <s v="ORD110"/>
        <s v="ORD111"/>
        <s v="ORD112"/>
        <s v="ORD113"/>
        <s v="ORD114"/>
        <s v="ORD115"/>
        <s v="ORD116"/>
        <s v="ORD117"/>
        <s v="ORD118"/>
        <s v="ORD119"/>
        <s v="ORD120"/>
      </sharedItems>
    </cacheField>
    <cacheField name="Restaurant_Location" numFmtId="0">
      <sharedItems/>
    </cacheField>
    <cacheField name="Customer_Location" numFmtId="0">
      <sharedItems/>
    </cacheField>
    <cacheField name="Order_Time" numFmtId="20">
      <sharedItems containsSemiMixedTypes="0" containsNonDate="0" containsDate="1" containsString="0" minDate="1899-12-30T10:00:00" maxDate="1899-12-30T11:35:00"/>
    </cacheField>
    <cacheField name="Pickup_Time" numFmtId="20">
      <sharedItems containsSemiMixedTypes="0" containsNonDate="0" containsDate="1" containsString="0" minDate="1899-12-30T10:10:00" maxDate="1899-12-30T11:50:00"/>
    </cacheField>
    <cacheField name="Delivery_Time" numFmtId="20">
      <sharedItems containsSemiMixedTypes="0" containsNonDate="0" containsDate="1" containsString="0" minDate="1899-12-30T10:30:00" maxDate="1899-12-30T12:30:00"/>
    </cacheField>
    <cacheField name="Delivery_Distance_km" numFmtId="0">
      <sharedItems containsSemiMixedTypes="0" containsString="0" containsNumber="1" minValue="4.3" maxValue="8.4"/>
    </cacheField>
    <cacheField name="Driver_ID" numFmtId="0">
      <sharedItems count="5">
        <s v="D01"/>
        <s v="D02"/>
        <s v="D03"/>
        <s v="D04"/>
        <s v="D05"/>
      </sharedItems>
    </cacheField>
    <cacheField name="Delivery_Status" numFmtId="0">
      <sharedItems/>
    </cacheField>
    <cacheField name="Total_Delivery_Time_Min" numFmtId="1">
      <sharedItems containsSemiMixedTypes="0" containsString="0" containsNumber="1" minValue="29.999999999999972" maxValue="55.00000000000012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05.713386921299" createdVersion="7" refreshedVersion="7" minRefreshableVersion="3" recordCount="20" xr:uid="{B5A0B2F5-8902-46EF-A71A-D1833CCD3790}">
  <cacheSource type="worksheet">
    <worksheetSource ref="A1:K21" sheet="Sheet1"/>
  </cacheSource>
  <cacheFields count="11">
    <cacheField name="Order_ID" numFmtId="0">
      <sharedItems/>
    </cacheField>
    <cacheField name="Restaurant_Location" numFmtId="0">
      <sharedItems/>
    </cacheField>
    <cacheField name="Customer_Location" numFmtId="0">
      <sharedItems/>
    </cacheField>
    <cacheField name="Order_Time" numFmtId="20">
      <sharedItems containsSemiMixedTypes="0" containsNonDate="0" containsDate="1" containsString="0" minDate="1899-12-30T10:00:00" maxDate="1899-12-30T11:35:00"/>
    </cacheField>
    <cacheField name="Pickup_Time" numFmtId="20">
      <sharedItems containsSemiMixedTypes="0" containsNonDate="0" containsDate="1" containsString="0" minDate="1899-12-30T10:10:00" maxDate="1899-12-30T11:50:00"/>
    </cacheField>
    <cacheField name="Delivery_Time" numFmtId="20">
      <sharedItems containsSemiMixedTypes="0" containsNonDate="0" containsDate="1" containsString="0" minDate="1899-12-30T10:30:00" maxDate="1899-12-30T12:30:00"/>
    </cacheField>
    <cacheField name="Delivery_Distance_km" numFmtId="0">
      <sharedItems containsSemiMixedTypes="0" containsString="0" containsNumber="1" minValue="4.3" maxValue="8.4"/>
    </cacheField>
    <cacheField name="Driver_ID" numFmtId="0">
      <sharedItems/>
    </cacheField>
    <cacheField name="Delivery_Status" numFmtId="0">
      <sharedItems/>
    </cacheField>
    <cacheField name="Total_Delivery_Time_Min" numFmtId="1">
      <sharedItems containsSemiMixedTypes="0" containsString="0" containsNumber="1" minValue="29.999999999999972" maxValue="55.000000000000128"/>
    </cacheField>
    <cacheField name="Order_Hour" numFmtId="0">
      <sharedItems containsSemiMixedTypes="0" containsString="0" containsNumber="1" containsInteger="1" minValue="10" maxValue="11" count="2">
        <n v="10"/>
        <n v="1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x v="0"/>
    <s v="Downtown"/>
    <s v="North Zone"/>
    <d v="1899-12-30T10:00:00"/>
    <d v="1899-12-30T10:10:00"/>
    <d v="1899-12-30T10:30:00"/>
    <n v="5.2"/>
    <x v="0"/>
    <s v="Delivered"/>
    <n v="29.999999999999972"/>
  </r>
  <r>
    <x v="1"/>
    <s v="East Zone"/>
    <s v="South Zone"/>
    <d v="1899-12-30T10:05:00"/>
    <d v="1899-12-30T10:20:00"/>
    <d v="1899-12-30T10:50:00"/>
    <n v="7.5"/>
    <x v="1"/>
    <s v="Delayed"/>
    <n v="45"/>
  </r>
  <r>
    <x v="2"/>
    <s v="West End"/>
    <s v="East Zone"/>
    <d v="1899-12-30T10:10:00"/>
    <d v="1899-12-30T10:25:00"/>
    <d v="1899-12-30T10:55:00"/>
    <n v="4.3"/>
    <x v="2"/>
    <s v="Delivered"/>
    <n v="45"/>
  </r>
  <r>
    <x v="3"/>
    <s v="Central Mall"/>
    <s v="West Zone"/>
    <d v="1899-12-30T10:15:00"/>
    <d v="1899-12-30T10:30:00"/>
    <d v="1899-12-30T10:45:00"/>
    <n v="6"/>
    <x v="3"/>
    <s v="Delivered"/>
    <n v="30.000000000000053"/>
  </r>
  <r>
    <x v="4"/>
    <s v="North Park"/>
    <s v="Central Zone"/>
    <d v="1899-12-30T10:20:00"/>
    <d v="1899-12-30T10:35:00"/>
    <d v="1899-12-30T10:55:00"/>
    <n v="8.1"/>
    <x v="4"/>
    <s v="Delayed"/>
    <n v="34.999999999999957"/>
  </r>
  <r>
    <x v="5"/>
    <s v="South Street"/>
    <s v="North Zone"/>
    <d v="1899-12-30T10:25:00"/>
    <d v="1899-12-30T10:40:00"/>
    <d v="1899-12-30T11:00:00"/>
    <n v="7.2"/>
    <x v="0"/>
    <s v="Delivered"/>
    <n v="35.000000000000036"/>
  </r>
  <r>
    <x v="6"/>
    <s v="Downtown"/>
    <s v="South Zone"/>
    <d v="1899-12-30T10:30:00"/>
    <d v="1899-12-30T10:45:00"/>
    <d v="1899-12-30T11:05:00"/>
    <n v="4.8"/>
    <x v="1"/>
    <s v="Delivered"/>
    <n v="35.000000000000036"/>
  </r>
  <r>
    <x v="7"/>
    <s v="East Zone"/>
    <s v="East Zone"/>
    <d v="1899-12-30T10:35:00"/>
    <d v="1899-12-30T10:50:00"/>
    <d v="1899-12-30T11:15:00"/>
    <n v="5"/>
    <x v="2"/>
    <s v="Delayed"/>
    <n v="39.999999999999936"/>
  </r>
  <r>
    <x v="8"/>
    <s v="West End"/>
    <s v="West Zone"/>
    <d v="1899-12-30T10:40:00"/>
    <d v="1899-12-30T10:55:00"/>
    <d v="1899-12-30T11:20:00"/>
    <n v="6.5"/>
    <x v="3"/>
    <s v="Delivered"/>
    <n v="40.000000000000099"/>
  </r>
  <r>
    <x v="9"/>
    <s v="Central Mall"/>
    <s v="Central Zone"/>
    <d v="1899-12-30T10:45:00"/>
    <d v="1899-12-30T11:00:00"/>
    <d v="1899-12-30T11:25:00"/>
    <n v="7.8"/>
    <x v="4"/>
    <s v="Delivered"/>
    <n v="39.999999999999936"/>
  </r>
  <r>
    <x v="10"/>
    <s v="North Park"/>
    <s v="North Zone"/>
    <d v="1899-12-30T10:50:00"/>
    <d v="1899-12-30T11:05:00"/>
    <d v="1899-12-30T11:30:00"/>
    <n v="5.0999999999999996"/>
    <x v="0"/>
    <s v="Delayed"/>
    <n v="40.000000000000014"/>
  </r>
  <r>
    <x v="11"/>
    <s v="South Street"/>
    <s v="South Zone"/>
    <d v="1899-12-30T10:55:00"/>
    <d v="1899-12-30T11:10:00"/>
    <d v="1899-12-30T11:40:00"/>
    <n v="8.4"/>
    <x v="1"/>
    <s v="Delivered"/>
    <n v="45"/>
  </r>
  <r>
    <x v="12"/>
    <s v="Downtown"/>
    <s v="East Zone"/>
    <d v="1899-12-30T11:00:00"/>
    <d v="1899-12-30T11:15:00"/>
    <d v="1899-12-30T11:45:00"/>
    <n v="4.5"/>
    <x v="2"/>
    <s v="Delivered"/>
    <n v="45"/>
  </r>
  <r>
    <x v="13"/>
    <s v="East Zone"/>
    <s v="West Zone"/>
    <d v="1899-12-30T11:05:00"/>
    <d v="1899-12-30T11:20:00"/>
    <d v="1899-12-30T11:55:00"/>
    <n v="7.9"/>
    <x v="3"/>
    <s v="Delayed"/>
    <n v="49.999999999999901"/>
  </r>
  <r>
    <x v="14"/>
    <s v="West End"/>
    <s v="Central Zone"/>
    <d v="1899-12-30T11:10:00"/>
    <d v="1899-12-30T11:25:00"/>
    <d v="1899-12-30T12:00:00"/>
    <n v="6.2"/>
    <x v="4"/>
    <s v="Delivered"/>
    <n v="50.000000000000064"/>
  </r>
  <r>
    <x v="15"/>
    <s v="Central Mall"/>
    <s v="North Zone"/>
    <d v="1899-12-30T11:15:00"/>
    <d v="1899-12-30T11:30:00"/>
    <d v="1899-12-30T12:05:00"/>
    <n v="5.8"/>
    <x v="0"/>
    <s v="Delivered"/>
    <n v="49.999999999999986"/>
  </r>
  <r>
    <x v="16"/>
    <s v="North Park"/>
    <s v="South Zone"/>
    <d v="1899-12-30T11:20:00"/>
    <d v="1899-12-30T11:35:00"/>
    <d v="1899-12-30T12:10:00"/>
    <n v="8"/>
    <x v="1"/>
    <s v="Delivered"/>
    <n v="49.999999999999901"/>
  </r>
  <r>
    <x v="17"/>
    <s v="South Street"/>
    <s v="East Zone"/>
    <d v="1899-12-30T11:25:00"/>
    <d v="1899-12-30T11:40:00"/>
    <d v="1899-12-30T12:20:00"/>
    <n v="7.3"/>
    <x v="2"/>
    <s v="Delayed"/>
    <n v="55.000000000000128"/>
  </r>
  <r>
    <x v="18"/>
    <s v="Downtown"/>
    <s v="West Zone"/>
    <d v="1899-12-30T11:30:00"/>
    <d v="1899-12-30T11:45:00"/>
    <d v="1899-12-30T12:25:00"/>
    <n v="4.5999999999999996"/>
    <x v="3"/>
    <s v="Delivered"/>
    <n v="54.999999999999886"/>
  </r>
  <r>
    <x v="19"/>
    <s v="East Zone"/>
    <s v="Central Zone"/>
    <d v="1899-12-30T11:35:00"/>
    <d v="1899-12-30T11:50:00"/>
    <d v="1899-12-30T12:30:00"/>
    <n v="6.9"/>
    <x v="4"/>
    <s v="Delivered"/>
    <n v="55.00000000000004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s v="ORD101"/>
    <s v="Downtown"/>
    <s v="North Zone"/>
    <d v="1899-12-30T10:00:00"/>
    <d v="1899-12-30T10:10:00"/>
    <d v="1899-12-30T10:30:00"/>
    <n v="5.2"/>
    <s v="D01"/>
    <s v="Delivered"/>
    <n v="29.999999999999972"/>
    <x v="0"/>
  </r>
  <r>
    <s v="ORD102"/>
    <s v="East Zone"/>
    <s v="South Zone"/>
    <d v="1899-12-30T10:05:00"/>
    <d v="1899-12-30T10:20:00"/>
    <d v="1899-12-30T10:50:00"/>
    <n v="7.5"/>
    <s v="D02"/>
    <s v="Delayed"/>
    <n v="45"/>
    <x v="0"/>
  </r>
  <r>
    <s v="ORD103"/>
    <s v="West End"/>
    <s v="East Zone"/>
    <d v="1899-12-30T10:10:00"/>
    <d v="1899-12-30T10:25:00"/>
    <d v="1899-12-30T10:55:00"/>
    <n v="4.3"/>
    <s v="D03"/>
    <s v="Delivered"/>
    <n v="45"/>
    <x v="0"/>
  </r>
  <r>
    <s v="ORD104"/>
    <s v="Central Mall"/>
    <s v="West Zone"/>
    <d v="1899-12-30T10:15:00"/>
    <d v="1899-12-30T10:30:00"/>
    <d v="1899-12-30T10:45:00"/>
    <n v="6"/>
    <s v="D04"/>
    <s v="Delivered"/>
    <n v="30.000000000000053"/>
    <x v="0"/>
  </r>
  <r>
    <s v="ORD105"/>
    <s v="North Park"/>
    <s v="Central Zone"/>
    <d v="1899-12-30T10:20:00"/>
    <d v="1899-12-30T10:35:00"/>
    <d v="1899-12-30T10:55:00"/>
    <n v="8.1"/>
    <s v="D05"/>
    <s v="Delayed"/>
    <n v="34.999999999999957"/>
    <x v="0"/>
  </r>
  <r>
    <s v="ORD106"/>
    <s v="South Street"/>
    <s v="North Zone"/>
    <d v="1899-12-30T10:25:00"/>
    <d v="1899-12-30T10:40:00"/>
    <d v="1899-12-30T11:00:00"/>
    <n v="7.2"/>
    <s v="D01"/>
    <s v="Delivered"/>
    <n v="35.000000000000036"/>
    <x v="0"/>
  </r>
  <r>
    <s v="ORD107"/>
    <s v="Downtown"/>
    <s v="South Zone"/>
    <d v="1899-12-30T10:30:00"/>
    <d v="1899-12-30T10:45:00"/>
    <d v="1899-12-30T11:05:00"/>
    <n v="4.8"/>
    <s v="D02"/>
    <s v="Delivered"/>
    <n v="35.000000000000036"/>
    <x v="0"/>
  </r>
  <r>
    <s v="ORD108"/>
    <s v="East Zone"/>
    <s v="East Zone"/>
    <d v="1899-12-30T10:35:00"/>
    <d v="1899-12-30T10:50:00"/>
    <d v="1899-12-30T11:15:00"/>
    <n v="5"/>
    <s v="D03"/>
    <s v="Delayed"/>
    <n v="39.999999999999936"/>
    <x v="0"/>
  </r>
  <r>
    <s v="ORD109"/>
    <s v="West End"/>
    <s v="West Zone"/>
    <d v="1899-12-30T10:40:00"/>
    <d v="1899-12-30T10:55:00"/>
    <d v="1899-12-30T11:20:00"/>
    <n v="6.5"/>
    <s v="D04"/>
    <s v="Delivered"/>
    <n v="40.000000000000099"/>
    <x v="0"/>
  </r>
  <r>
    <s v="ORD110"/>
    <s v="Central Mall"/>
    <s v="Central Zone"/>
    <d v="1899-12-30T10:45:00"/>
    <d v="1899-12-30T11:00:00"/>
    <d v="1899-12-30T11:25:00"/>
    <n v="7.8"/>
    <s v="D05"/>
    <s v="Delivered"/>
    <n v="39.999999999999936"/>
    <x v="0"/>
  </r>
  <r>
    <s v="ORD111"/>
    <s v="North Park"/>
    <s v="North Zone"/>
    <d v="1899-12-30T10:50:00"/>
    <d v="1899-12-30T11:05:00"/>
    <d v="1899-12-30T11:30:00"/>
    <n v="5.0999999999999996"/>
    <s v="D01"/>
    <s v="Delayed"/>
    <n v="40.000000000000014"/>
    <x v="0"/>
  </r>
  <r>
    <s v="ORD112"/>
    <s v="South Street"/>
    <s v="South Zone"/>
    <d v="1899-12-30T10:55:00"/>
    <d v="1899-12-30T11:10:00"/>
    <d v="1899-12-30T11:40:00"/>
    <n v="8.4"/>
    <s v="D02"/>
    <s v="Delivered"/>
    <n v="45"/>
    <x v="0"/>
  </r>
  <r>
    <s v="ORD113"/>
    <s v="Downtown"/>
    <s v="East Zone"/>
    <d v="1899-12-30T11:00:00"/>
    <d v="1899-12-30T11:15:00"/>
    <d v="1899-12-30T11:45:00"/>
    <n v="4.5"/>
    <s v="D03"/>
    <s v="Delivered"/>
    <n v="45"/>
    <x v="1"/>
  </r>
  <r>
    <s v="ORD114"/>
    <s v="East Zone"/>
    <s v="West Zone"/>
    <d v="1899-12-30T11:05:00"/>
    <d v="1899-12-30T11:20:00"/>
    <d v="1899-12-30T11:55:00"/>
    <n v="7.9"/>
    <s v="D04"/>
    <s v="Delayed"/>
    <n v="49.999999999999901"/>
    <x v="1"/>
  </r>
  <r>
    <s v="ORD115"/>
    <s v="West End"/>
    <s v="Central Zone"/>
    <d v="1899-12-30T11:10:00"/>
    <d v="1899-12-30T11:25:00"/>
    <d v="1899-12-30T12:00:00"/>
    <n v="6.2"/>
    <s v="D05"/>
    <s v="Delivered"/>
    <n v="50.000000000000064"/>
    <x v="1"/>
  </r>
  <r>
    <s v="ORD116"/>
    <s v="Central Mall"/>
    <s v="North Zone"/>
    <d v="1899-12-30T11:15:00"/>
    <d v="1899-12-30T11:30:00"/>
    <d v="1899-12-30T12:05:00"/>
    <n v="5.8"/>
    <s v="D01"/>
    <s v="Delivered"/>
    <n v="49.999999999999986"/>
    <x v="1"/>
  </r>
  <r>
    <s v="ORD117"/>
    <s v="North Park"/>
    <s v="South Zone"/>
    <d v="1899-12-30T11:20:00"/>
    <d v="1899-12-30T11:35:00"/>
    <d v="1899-12-30T12:10:00"/>
    <n v="8"/>
    <s v="D02"/>
    <s v="Delivered"/>
    <n v="49.999999999999901"/>
    <x v="1"/>
  </r>
  <r>
    <s v="ORD118"/>
    <s v="South Street"/>
    <s v="East Zone"/>
    <d v="1899-12-30T11:25:00"/>
    <d v="1899-12-30T11:40:00"/>
    <d v="1899-12-30T12:20:00"/>
    <n v="7.3"/>
    <s v="D03"/>
    <s v="Delayed"/>
    <n v="55.000000000000128"/>
    <x v="1"/>
  </r>
  <r>
    <s v="ORD119"/>
    <s v="Downtown"/>
    <s v="West Zone"/>
    <d v="1899-12-30T11:30:00"/>
    <d v="1899-12-30T11:45:00"/>
    <d v="1899-12-30T12:25:00"/>
    <n v="4.5999999999999996"/>
    <s v="D04"/>
    <s v="Delivered"/>
    <n v="54.999999999999886"/>
    <x v="1"/>
  </r>
  <r>
    <s v="ORD120"/>
    <s v="East Zone"/>
    <s v="Central Zone"/>
    <d v="1899-12-30T11:35:00"/>
    <d v="1899-12-30T11:50:00"/>
    <d v="1899-12-30T12:30:00"/>
    <n v="6.9"/>
    <s v="D05"/>
    <s v="Delivered"/>
    <n v="55.000000000000043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E11285-61B9-4E45-9BCE-B33BA131B4DA}" name="PivotTable1" cacheId="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6">
  <location ref="A3:B9" firstHeaderRow="1" firstDataRow="1" firstDataCol="1"/>
  <pivotFields count="10">
    <pivotField dataField="1"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showAll="0"/>
    <pivotField showAll="0"/>
    <pivotField numFmtId="20" showAll="0"/>
    <pivotField numFmtId="20" showAll="0"/>
    <pivotField numFmtId="20" showAll="0"/>
    <pivotField showAll="0"/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numFmtId="1" showAll="0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Order_ID" fld="0" subtotal="count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DE9F7C-E317-49EA-B3E6-6C0B74C17697}" name="PivotTable2" cacheId="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5">
  <location ref="A3:B6" firstHeaderRow="1" firstDataRow="1" firstDataCol="1"/>
  <pivotFields count="11">
    <pivotField showAll="0"/>
    <pivotField showAll="0"/>
    <pivotField showAll="0"/>
    <pivotField numFmtId="20" showAll="0"/>
    <pivotField numFmtId="20" showAll="0"/>
    <pivotField numFmtId="20" showAll="0"/>
    <pivotField showAll="0"/>
    <pivotField showAll="0"/>
    <pivotField showAll="0"/>
    <pivotField dataField="1" numFmtId="1" showAll="0"/>
    <pivotField axis="axisRow" showAll="0">
      <items count="3">
        <item x="0"/>
        <item x="1"/>
        <item t="default"/>
      </items>
    </pivotField>
  </pivotFields>
  <rowFields count="1">
    <field x="10"/>
  </rowFields>
  <rowItems count="3">
    <i>
      <x/>
    </i>
    <i>
      <x v="1"/>
    </i>
    <i t="grand">
      <x/>
    </i>
  </rowItems>
  <colItems count="1">
    <i/>
  </colItems>
  <dataFields count="1">
    <dataField name="Average of Total_Delivery_Time_Min" fld="9" subtotal="average" baseField="1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DAF7A-1D7F-4F2B-A090-344BAB3A47E5}">
  <dimension ref="A3:B9"/>
  <sheetViews>
    <sheetView workbookViewId="0">
      <selection activeCell="I4" sqref="I4"/>
    </sheetView>
  </sheetViews>
  <sheetFormatPr defaultRowHeight="14.4" x14ac:dyDescent="0.3"/>
  <cols>
    <col min="1" max="1" width="12.5546875" bestFit="1" customWidth="1"/>
    <col min="2" max="2" width="16.44140625" bestFit="1" customWidth="1"/>
  </cols>
  <sheetData>
    <row r="3" spans="1:2" x14ac:dyDescent="0.3">
      <c r="A3" s="5" t="s">
        <v>47</v>
      </c>
      <c r="B3" t="s">
        <v>49</v>
      </c>
    </row>
    <row r="4" spans="1:2" x14ac:dyDescent="0.3">
      <c r="A4" s="6" t="s">
        <v>12</v>
      </c>
      <c r="B4" s="7">
        <v>4</v>
      </c>
    </row>
    <row r="5" spans="1:2" x14ac:dyDescent="0.3">
      <c r="A5" s="6" t="s">
        <v>17</v>
      </c>
      <c r="B5" s="7">
        <v>4</v>
      </c>
    </row>
    <row r="6" spans="1:2" x14ac:dyDescent="0.3">
      <c r="A6" s="6" t="s">
        <v>21</v>
      </c>
      <c r="B6" s="7">
        <v>4</v>
      </c>
    </row>
    <row r="7" spans="1:2" x14ac:dyDescent="0.3">
      <c r="A7" s="6" t="s">
        <v>25</v>
      </c>
      <c r="B7" s="7">
        <v>4</v>
      </c>
    </row>
    <row r="8" spans="1:2" x14ac:dyDescent="0.3">
      <c r="A8" s="6" t="s">
        <v>29</v>
      </c>
      <c r="B8" s="7">
        <v>4</v>
      </c>
    </row>
    <row r="9" spans="1:2" x14ac:dyDescent="0.3">
      <c r="A9" s="6" t="s">
        <v>48</v>
      </c>
      <c r="B9" s="7">
        <v>20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9C311-76D4-4C94-B20C-B5F4204025F1}">
  <dimension ref="A3:B6"/>
  <sheetViews>
    <sheetView tabSelected="1" topLeftCell="B1" workbookViewId="0">
      <selection activeCell="E11" sqref="E11"/>
    </sheetView>
  </sheetViews>
  <sheetFormatPr defaultRowHeight="14.4" x14ac:dyDescent="0.3"/>
  <cols>
    <col min="1" max="1" width="12.5546875" bestFit="1" customWidth="1"/>
    <col min="2" max="2" width="32.5546875" bestFit="1" customWidth="1"/>
  </cols>
  <sheetData>
    <row r="3" spans="1:2" x14ac:dyDescent="0.3">
      <c r="A3" s="5" t="s">
        <v>47</v>
      </c>
      <c r="B3" t="s">
        <v>51</v>
      </c>
    </row>
    <row r="4" spans="1:2" x14ac:dyDescent="0.3">
      <c r="A4" s="6">
        <v>10</v>
      </c>
      <c r="B4" s="7">
        <v>38.333333333333336</v>
      </c>
    </row>
    <row r="5" spans="1:2" x14ac:dyDescent="0.3">
      <c r="A5" s="6">
        <v>11</v>
      </c>
      <c r="B5" s="7">
        <v>51.249999999999986</v>
      </c>
    </row>
    <row r="6" spans="1:2" x14ac:dyDescent="0.3">
      <c r="A6" s="6" t="s">
        <v>48</v>
      </c>
      <c r="B6" s="7">
        <v>43.5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C3FC-9A70-4CAA-82C0-098287A57B26}">
  <dimension ref="A1:K24"/>
  <sheetViews>
    <sheetView topLeftCell="A17" workbookViewId="0">
      <selection activeCell="E16" sqref="E16"/>
    </sheetView>
  </sheetViews>
  <sheetFormatPr defaultRowHeight="14.4" x14ac:dyDescent="0.3"/>
  <cols>
    <col min="1" max="1" width="18.5546875" customWidth="1"/>
    <col min="2" max="2" width="19.21875" customWidth="1"/>
    <col min="3" max="3" width="16" customWidth="1"/>
    <col min="4" max="4" width="14.109375" customWidth="1"/>
    <col min="5" max="5" width="18.33203125" customWidth="1"/>
    <col min="6" max="6" width="13" customWidth="1"/>
    <col min="7" max="7" width="14.5546875" customWidth="1"/>
    <col min="8" max="8" width="15.109375" customWidth="1"/>
    <col min="9" max="9" width="13.33203125" customWidth="1"/>
    <col min="10" max="10" width="23.21875" style="4" customWidth="1"/>
    <col min="11" max="11" width="20.44140625" customWidth="1"/>
  </cols>
  <sheetData>
    <row r="1" spans="1:11" s="2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46</v>
      </c>
      <c r="K1" s="2" t="s">
        <v>50</v>
      </c>
    </row>
    <row r="2" spans="1:11" x14ac:dyDescent="0.3">
      <c r="A2" t="s">
        <v>9</v>
      </c>
      <c r="B2" t="s">
        <v>10</v>
      </c>
      <c r="C2" t="s">
        <v>11</v>
      </c>
      <c r="D2" s="1">
        <v>0.41666666666666669</v>
      </c>
      <c r="E2" s="1">
        <v>0.4236111111111111</v>
      </c>
      <c r="F2" s="1">
        <v>0.4375</v>
      </c>
      <c r="G2">
        <v>5.2</v>
      </c>
      <c r="H2" t="s">
        <v>12</v>
      </c>
      <c r="I2" t="s">
        <v>13</v>
      </c>
      <c r="J2" s="4">
        <f>(F2-D2)*1440</f>
        <v>29.999999999999972</v>
      </c>
      <c r="K2">
        <f>HOUR(D2)</f>
        <v>10</v>
      </c>
    </row>
    <row r="3" spans="1:11" x14ac:dyDescent="0.3">
      <c r="A3" t="s">
        <v>14</v>
      </c>
      <c r="B3" t="s">
        <v>15</v>
      </c>
      <c r="C3" t="s">
        <v>16</v>
      </c>
      <c r="D3" s="1">
        <v>0.4201388888888889</v>
      </c>
      <c r="E3" s="1">
        <v>0.43055555555555558</v>
      </c>
      <c r="F3" s="1">
        <v>0.4513888888888889</v>
      </c>
      <c r="G3">
        <v>7.5</v>
      </c>
      <c r="H3" t="s">
        <v>17</v>
      </c>
      <c r="I3" t="s">
        <v>18</v>
      </c>
      <c r="J3" s="4">
        <f t="shared" ref="J3:J21" si="0">(F3-D3)*1440</f>
        <v>45</v>
      </c>
      <c r="K3">
        <f t="shared" ref="K3:K21" si="1">HOUR(D3)</f>
        <v>10</v>
      </c>
    </row>
    <row r="4" spans="1:11" x14ac:dyDescent="0.3">
      <c r="A4" t="s">
        <v>19</v>
      </c>
      <c r="B4" t="s">
        <v>20</v>
      </c>
      <c r="C4" t="s">
        <v>15</v>
      </c>
      <c r="D4" s="1">
        <v>0.4236111111111111</v>
      </c>
      <c r="E4" s="1">
        <v>0.43402777777777773</v>
      </c>
      <c r="F4" s="1">
        <v>0.4548611111111111</v>
      </c>
      <c r="G4">
        <v>4.3</v>
      </c>
      <c r="H4" t="s">
        <v>21</v>
      </c>
      <c r="I4" t="s">
        <v>13</v>
      </c>
      <c r="J4" s="4">
        <f t="shared" si="0"/>
        <v>45</v>
      </c>
      <c r="K4">
        <f t="shared" si="1"/>
        <v>10</v>
      </c>
    </row>
    <row r="5" spans="1:11" x14ac:dyDescent="0.3">
      <c r="A5" t="s">
        <v>22</v>
      </c>
      <c r="B5" t="s">
        <v>23</v>
      </c>
      <c r="C5" t="s">
        <v>24</v>
      </c>
      <c r="D5" s="1">
        <v>0.42708333333333331</v>
      </c>
      <c r="E5" s="1">
        <v>0.4375</v>
      </c>
      <c r="F5" s="1">
        <v>0.44791666666666669</v>
      </c>
      <c r="G5">
        <v>6</v>
      </c>
      <c r="H5" t="s">
        <v>25</v>
      </c>
      <c r="I5" t="s">
        <v>13</v>
      </c>
      <c r="J5" s="4">
        <f t="shared" si="0"/>
        <v>30.000000000000053</v>
      </c>
      <c r="K5">
        <f t="shared" si="1"/>
        <v>10</v>
      </c>
    </row>
    <row r="6" spans="1:11" x14ac:dyDescent="0.3">
      <c r="A6" t="s">
        <v>26</v>
      </c>
      <c r="B6" t="s">
        <v>27</v>
      </c>
      <c r="C6" t="s">
        <v>28</v>
      </c>
      <c r="D6" s="1">
        <v>0.43055555555555558</v>
      </c>
      <c r="E6" s="1">
        <v>0.44097222222222227</v>
      </c>
      <c r="F6" s="1">
        <v>0.4548611111111111</v>
      </c>
      <c r="G6">
        <v>8.1</v>
      </c>
      <c r="H6" t="s">
        <v>29</v>
      </c>
      <c r="I6" t="s">
        <v>18</v>
      </c>
      <c r="J6" s="4">
        <f t="shared" si="0"/>
        <v>34.999999999999957</v>
      </c>
      <c r="K6">
        <f t="shared" si="1"/>
        <v>10</v>
      </c>
    </row>
    <row r="7" spans="1:11" x14ac:dyDescent="0.3">
      <c r="A7" t="s">
        <v>30</v>
      </c>
      <c r="B7" t="s">
        <v>31</v>
      </c>
      <c r="C7" t="s">
        <v>11</v>
      </c>
      <c r="D7" s="1">
        <v>0.43402777777777773</v>
      </c>
      <c r="E7" s="1">
        <v>0.44444444444444442</v>
      </c>
      <c r="F7" s="1">
        <v>0.45833333333333331</v>
      </c>
      <c r="G7">
        <v>7.2</v>
      </c>
      <c r="H7" t="s">
        <v>12</v>
      </c>
      <c r="I7" t="s">
        <v>13</v>
      </c>
      <c r="J7" s="4">
        <f t="shared" si="0"/>
        <v>35.000000000000036</v>
      </c>
      <c r="K7">
        <f t="shared" si="1"/>
        <v>10</v>
      </c>
    </row>
    <row r="8" spans="1:11" x14ac:dyDescent="0.3">
      <c r="A8" t="s">
        <v>32</v>
      </c>
      <c r="B8" t="s">
        <v>10</v>
      </c>
      <c r="C8" t="s">
        <v>16</v>
      </c>
      <c r="D8" s="1">
        <v>0.4375</v>
      </c>
      <c r="E8" s="1">
        <v>0.44791666666666669</v>
      </c>
      <c r="F8" s="1">
        <v>0.46180555555555558</v>
      </c>
      <c r="G8">
        <v>4.8</v>
      </c>
      <c r="H8" t="s">
        <v>17</v>
      </c>
      <c r="I8" t="s">
        <v>13</v>
      </c>
      <c r="J8" s="4">
        <f t="shared" si="0"/>
        <v>35.000000000000036</v>
      </c>
      <c r="K8">
        <f t="shared" si="1"/>
        <v>10</v>
      </c>
    </row>
    <row r="9" spans="1:11" x14ac:dyDescent="0.3">
      <c r="A9" t="s">
        <v>33</v>
      </c>
      <c r="B9" t="s">
        <v>15</v>
      </c>
      <c r="C9" t="s">
        <v>15</v>
      </c>
      <c r="D9" s="1">
        <v>0.44097222222222227</v>
      </c>
      <c r="E9" s="1">
        <v>0.4513888888888889</v>
      </c>
      <c r="F9" s="1">
        <v>0.46875</v>
      </c>
      <c r="G9">
        <v>5</v>
      </c>
      <c r="H9" t="s">
        <v>21</v>
      </c>
      <c r="I9" t="s">
        <v>18</v>
      </c>
      <c r="J9" s="4">
        <f t="shared" si="0"/>
        <v>39.999999999999936</v>
      </c>
      <c r="K9">
        <f t="shared" si="1"/>
        <v>10</v>
      </c>
    </row>
    <row r="10" spans="1:11" x14ac:dyDescent="0.3">
      <c r="A10" t="s">
        <v>34</v>
      </c>
      <c r="B10" t="s">
        <v>20</v>
      </c>
      <c r="C10" t="s">
        <v>24</v>
      </c>
      <c r="D10" s="1">
        <v>0.44444444444444442</v>
      </c>
      <c r="E10" s="1">
        <v>0.4548611111111111</v>
      </c>
      <c r="F10" s="1">
        <v>0.47222222222222227</v>
      </c>
      <c r="G10">
        <v>6.5</v>
      </c>
      <c r="H10" t="s">
        <v>25</v>
      </c>
      <c r="I10" t="s">
        <v>13</v>
      </c>
      <c r="J10" s="4">
        <f t="shared" si="0"/>
        <v>40.000000000000099</v>
      </c>
      <c r="K10">
        <f t="shared" si="1"/>
        <v>10</v>
      </c>
    </row>
    <row r="11" spans="1:11" x14ac:dyDescent="0.3">
      <c r="A11" t="s">
        <v>35</v>
      </c>
      <c r="B11" t="s">
        <v>23</v>
      </c>
      <c r="C11" t="s">
        <v>28</v>
      </c>
      <c r="D11" s="1">
        <v>0.44791666666666669</v>
      </c>
      <c r="E11" s="1">
        <v>0.45833333333333331</v>
      </c>
      <c r="F11" s="1">
        <v>0.47569444444444442</v>
      </c>
      <c r="G11">
        <v>7.8</v>
      </c>
      <c r="H11" t="s">
        <v>29</v>
      </c>
      <c r="I11" t="s">
        <v>13</v>
      </c>
      <c r="J11" s="4">
        <f t="shared" si="0"/>
        <v>39.999999999999936</v>
      </c>
      <c r="K11">
        <f t="shared" si="1"/>
        <v>10</v>
      </c>
    </row>
    <row r="12" spans="1:11" x14ac:dyDescent="0.3">
      <c r="A12" t="s">
        <v>36</v>
      </c>
      <c r="B12" t="s">
        <v>27</v>
      </c>
      <c r="C12" t="s">
        <v>11</v>
      </c>
      <c r="D12" s="1">
        <v>0.4513888888888889</v>
      </c>
      <c r="E12" s="1">
        <v>0.46180555555555558</v>
      </c>
      <c r="F12" s="1">
        <v>0.47916666666666669</v>
      </c>
      <c r="G12">
        <v>5.0999999999999996</v>
      </c>
      <c r="H12" t="s">
        <v>12</v>
      </c>
      <c r="I12" t="s">
        <v>18</v>
      </c>
      <c r="J12" s="4">
        <f t="shared" si="0"/>
        <v>40.000000000000014</v>
      </c>
      <c r="K12">
        <f t="shared" si="1"/>
        <v>10</v>
      </c>
    </row>
    <row r="13" spans="1:11" x14ac:dyDescent="0.3">
      <c r="A13" t="s">
        <v>37</v>
      </c>
      <c r="B13" t="s">
        <v>31</v>
      </c>
      <c r="C13" t="s">
        <v>16</v>
      </c>
      <c r="D13" s="1">
        <v>0.4548611111111111</v>
      </c>
      <c r="E13" s="1">
        <v>0.46527777777777773</v>
      </c>
      <c r="F13" s="1">
        <v>0.4861111111111111</v>
      </c>
      <c r="G13">
        <v>8.4</v>
      </c>
      <c r="H13" t="s">
        <v>17</v>
      </c>
      <c r="I13" t="s">
        <v>13</v>
      </c>
      <c r="J13" s="4">
        <f t="shared" si="0"/>
        <v>45</v>
      </c>
      <c r="K13">
        <f t="shared" si="1"/>
        <v>10</v>
      </c>
    </row>
    <row r="14" spans="1:11" x14ac:dyDescent="0.3">
      <c r="A14" t="s">
        <v>38</v>
      </c>
      <c r="B14" t="s">
        <v>10</v>
      </c>
      <c r="C14" t="s">
        <v>15</v>
      </c>
      <c r="D14" s="1">
        <v>0.45833333333333331</v>
      </c>
      <c r="E14" s="1">
        <v>0.46875</v>
      </c>
      <c r="F14" s="1">
        <v>0.48958333333333331</v>
      </c>
      <c r="G14">
        <v>4.5</v>
      </c>
      <c r="H14" t="s">
        <v>21</v>
      </c>
      <c r="I14" t="s">
        <v>13</v>
      </c>
      <c r="J14" s="4">
        <f t="shared" si="0"/>
        <v>45</v>
      </c>
      <c r="K14">
        <f t="shared" si="1"/>
        <v>11</v>
      </c>
    </row>
    <row r="15" spans="1:11" x14ac:dyDescent="0.3">
      <c r="A15" t="s">
        <v>39</v>
      </c>
      <c r="B15" t="s">
        <v>15</v>
      </c>
      <c r="C15" t="s">
        <v>24</v>
      </c>
      <c r="D15" s="1">
        <v>0.46180555555555558</v>
      </c>
      <c r="E15" s="1">
        <v>0.47222222222222227</v>
      </c>
      <c r="F15" s="1">
        <v>0.49652777777777773</v>
      </c>
      <c r="G15">
        <v>7.9</v>
      </c>
      <c r="H15" t="s">
        <v>25</v>
      </c>
      <c r="I15" t="s">
        <v>18</v>
      </c>
      <c r="J15" s="4">
        <f t="shared" si="0"/>
        <v>49.999999999999901</v>
      </c>
      <c r="K15">
        <f t="shared" si="1"/>
        <v>11</v>
      </c>
    </row>
    <row r="16" spans="1:11" x14ac:dyDescent="0.3">
      <c r="A16" t="s">
        <v>40</v>
      </c>
      <c r="B16" t="s">
        <v>20</v>
      </c>
      <c r="C16" t="s">
        <v>28</v>
      </c>
      <c r="D16" s="1">
        <v>0.46527777777777773</v>
      </c>
      <c r="E16" s="1">
        <v>0.47569444444444442</v>
      </c>
      <c r="F16" s="1">
        <v>0.5</v>
      </c>
      <c r="G16">
        <v>6.2</v>
      </c>
      <c r="H16" t="s">
        <v>29</v>
      </c>
      <c r="I16" t="s">
        <v>13</v>
      </c>
      <c r="J16" s="4">
        <f t="shared" si="0"/>
        <v>50.000000000000064</v>
      </c>
      <c r="K16">
        <f t="shared" si="1"/>
        <v>11</v>
      </c>
    </row>
    <row r="17" spans="1:11" x14ac:dyDescent="0.3">
      <c r="A17" t="s">
        <v>41</v>
      </c>
      <c r="B17" t="s">
        <v>23</v>
      </c>
      <c r="C17" t="s">
        <v>11</v>
      </c>
      <c r="D17" s="1">
        <v>0.46875</v>
      </c>
      <c r="E17" s="1">
        <v>0.47916666666666669</v>
      </c>
      <c r="F17" s="1">
        <v>0.50347222222222221</v>
      </c>
      <c r="G17">
        <v>5.8</v>
      </c>
      <c r="H17" t="s">
        <v>12</v>
      </c>
      <c r="I17" t="s">
        <v>13</v>
      </c>
      <c r="J17" s="4">
        <f t="shared" si="0"/>
        <v>49.999999999999986</v>
      </c>
      <c r="K17">
        <f t="shared" si="1"/>
        <v>11</v>
      </c>
    </row>
    <row r="18" spans="1:11" x14ac:dyDescent="0.3">
      <c r="A18" t="s">
        <v>42</v>
      </c>
      <c r="B18" t="s">
        <v>27</v>
      </c>
      <c r="C18" t="s">
        <v>16</v>
      </c>
      <c r="D18" s="1">
        <v>0.47222222222222227</v>
      </c>
      <c r="E18" s="1">
        <v>0.4826388888888889</v>
      </c>
      <c r="F18" s="1">
        <v>0.50694444444444442</v>
      </c>
      <c r="G18">
        <v>8</v>
      </c>
      <c r="H18" t="s">
        <v>17</v>
      </c>
      <c r="I18" t="s">
        <v>13</v>
      </c>
      <c r="J18" s="4">
        <f t="shared" si="0"/>
        <v>49.999999999999901</v>
      </c>
      <c r="K18">
        <f t="shared" si="1"/>
        <v>11</v>
      </c>
    </row>
    <row r="19" spans="1:11" x14ac:dyDescent="0.3">
      <c r="A19" t="s">
        <v>43</v>
      </c>
      <c r="B19" t="s">
        <v>31</v>
      </c>
      <c r="C19" t="s">
        <v>15</v>
      </c>
      <c r="D19" s="1">
        <v>0.47569444444444442</v>
      </c>
      <c r="E19" s="1">
        <v>0.4861111111111111</v>
      </c>
      <c r="F19" s="1">
        <v>0.51388888888888895</v>
      </c>
      <c r="G19">
        <v>7.3</v>
      </c>
      <c r="H19" t="s">
        <v>21</v>
      </c>
      <c r="I19" t="s">
        <v>18</v>
      </c>
      <c r="J19" s="4">
        <f t="shared" si="0"/>
        <v>55.000000000000128</v>
      </c>
      <c r="K19">
        <f t="shared" si="1"/>
        <v>11</v>
      </c>
    </row>
    <row r="20" spans="1:11" x14ac:dyDescent="0.3">
      <c r="A20" t="s">
        <v>44</v>
      </c>
      <c r="B20" t="s">
        <v>10</v>
      </c>
      <c r="C20" t="s">
        <v>24</v>
      </c>
      <c r="D20" s="1">
        <v>0.47916666666666669</v>
      </c>
      <c r="E20" s="1">
        <v>0.48958333333333331</v>
      </c>
      <c r="F20" s="1">
        <v>0.51736111111111105</v>
      </c>
      <c r="G20">
        <v>4.5999999999999996</v>
      </c>
      <c r="H20" t="s">
        <v>25</v>
      </c>
      <c r="I20" t="s">
        <v>13</v>
      </c>
      <c r="J20" s="4">
        <f t="shared" si="0"/>
        <v>54.999999999999886</v>
      </c>
      <c r="K20">
        <f t="shared" si="1"/>
        <v>11</v>
      </c>
    </row>
    <row r="21" spans="1:11" x14ac:dyDescent="0.3">
      <c r="A21" t="s">
        <v>45</v>
      </c>
      <c r="B21" t="s">
        <v>15</v>
      </c>
      <c r="C21" t="s">
        <v>28</v>
      </c>
      <c r="D21" s="1">
        <v>0.4826388888888889</v>
      </c>
      <c r="E21" s="1">
        <v>0.49305555555555558</v>
      </c>
      <c r="F21" s="1">
        <v>0.52083333333333337</v>
      </c>
      <c r="G21">
        <v>6.9</v>
      </c>
      <c r="H21" t="s">
        <v>29</v>
      </c>
      <c r="I21" t="s">
        <v>13</v>
      </c>
      <c r="J21" s="4">
        <f t="shared" si="0"/>
        <v>55.000000000000043</v>
      </c>
      <c r="K21">
        <f t="shared" si="1"/>
        <v>11</v>
      </c>
    </row>
    <row r="24" spans="1:11" x14ac:dyDescent="0.3">
      <c r="C24" s="1">
        <f>(F2-D2)*1440</f>
        <v>29.999999999999972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Sheet3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2025-10-29T12:08:53Z</dcterms:created>
  <dcterms:modified xsi:type="dcterms:W3CDTF">2025-12-14T14:03:31Z</dcterms:modified>
</cp:coreProperties>
</file>